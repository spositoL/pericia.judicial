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FISSIONAL\CONSULTORIA\pericia.judicial\Linkedin\"/>
    </mc:Choice>
  </mc:AlternateContent>
  <xr:revisionPtr revIDLastSave="0" documentId="13_ncr:1_{52326B2F-5E6B-4D64-A2BA-100FEC0B8DE7}" xr6:coauthVersionLast="47" xr6:coauthVersionMax="47" xr10:uidLastSave="{00000000-0000-0000-0000-000000000000}"/>
  <bookViews>
    <workbookView xWindow="-28920" yWindow="-120" windowWidth="29040" windowHeight="15720" activeTab="1" xr2:uid="{34860B4A-5243-48D3-BEC1-9781996CB0CC}"/>
  </bookViews>
  <sheets>
    <sheet name="ABRIL-MAIO-26" sheetId="1" r:id="rId1"/>
    <sheet name="MAIO-JUNHO-26" sheetId="2" r:id="rId2"/>
  </sheets>
  <definedNames>
    <definedName name="_xlnm._FilterDatabase" localSheetId="0" hidden="1">'ABRIL-MAIO-26'!$A$1:$D$31</definedName>
    <definedName name="_xlnm._FilterDatabase" localSheetId="1" hidden="1">'MAIO-JUNHO-26'!$A$1:$E$21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9" i="2" s="1"/>
  <c r="B20" i="2" s="1"/>
  <c r="B21" i="2" s="1"/>
  <c r="B13" i="2"/>
  <c r="B14" i="2" s="1"/>
  <c r="B15" i="2" s="1"/>
  <c r="B16" i="2" s="1"/>
  <c r="B8" i="2"/>
  <c r="B9" i="2" s="1"/>
  <c r="B10" i="2" s="1"/>
  <c r="B11" i="2" s="1"/>
  <c r="B3" i="2"/>
  <c r="B4" i="2" s="1"/>
  <c r="B5" i="2" s="1"/>
  <c r="B6" i="2" s="1"/>
</calcChain>
</file>

<file path=xl/sharedStrings.xml><?xml version="1.0" encoding="utf-8"?>
<sst xmlns="http://schemas.openxmlformats.org/spreadsheetml/2006/main" count="171" uniqueCount="44">
  <si>
    <t>PUBLICAÇÕES NO LINKEDIN</t>
  </si>
  <si>
    <t>https://spositol.github.io/pericia.judicial/artigo-parecer-tecnico-pericia-dados-diferencial-judicial.html</t>
  </si>
  <si>
    <t>https://spositol.github.io/pericia.judicial/artigo-falacia-liquidez-ccb-fgi-peac-capital-retido.html</t>
  </si>
  <si>
    <t>https://spositol.github.io/pericia.judicial/artigo-retomando-a-paz-processo-judicial-bloqueio-assedio.html</t>
  </si>
  <si>
    <t>https://spositol.github.io/pericia.judicial/artigo-custo-real-emprestimo-pj-fgi-peac.html</t>
  </si>
  <si>
    <t>https://spositol.github.io/pericia.judicial/artigo-como-reduzir-juros-fgi-peac-sobreasseguracao.html</t>
  </si>
  <si>
    <t>https://spositol.github.io/pericia.judicial/artigo-juros-abusivos-fgi-peac-taxa-1-75.html</t>
  </si>
  <si>
    <t>https://spositol.github.io/pericia.judicial/artigo-venda-casada-taxas-abusivas-fgi-peac.html</t>
  </si>
  <si>
    <t>https://spositol.github.io/pericia.judicial/artigo-como-reduzir-divida-bancaria-empresa.html</t>
  </si>
  <si>
    <t>PUBLICAÇÕES NO FACEBOOK</t>
  </si>
  <si>
    <t>https://spositol.github.io/pericia.judicial/artigo-log-chamadas-prova-judicial-assedio-bancario.html</t>
  </si>
  <si>
    <t>https://spositol.github.io/pericia.judicial/artigo-analise-pericial-ccb-fgi-peac-dr-lincoln-sposito.html</t>
  </si>
  <si>
    <t>PUBLICAÇÕES NO TIKTOK</t>
  </si>
  <si>
    <t>ok</t>
  </si>
  <si>
    <t>REDE SOCIAL</t>
  </si>
  <si>
    <t>DATA</t>
  </si>
  <si>
    <t>LINK / URL</t>
  </si>
  <si>
    <t>STATUS</t>
  </si>
  <si>
    <t>OK</t>
  </si>
  <si>
    <t>https://spositol.github.io/pericia.judicial/artigo-divida-eterna-cartao-credito-parcelamento-automatico.html</t>
  </si>
  <si>
    <t>https://spositol.github.io/pericia.judicial/artigo-divida-cartao-credito-stalking-bancario.html</t>
  </si>
  <si>
    <t>https://spositol.github.io/pericia.judicial/artigo-alucinacao-matematica-pericia-divida-bancaria-revisional.html</t>
  </si>
  <si>
    <t>https://spositol.github.io/pericia.judicial/artigo-duty-to-mitigate-the-loss-pericia-cartao-paralisado.html</t>
  </si>
  <si>
    <t>https://spositol.github.io/pericia.judicial/artigo-extincao-divida-compensacao-repeticao-indebito-cdc.html</t>
  </si>
  <si>
    <t>linkedin</t>
  </si>
  <si>
    <t>facebook</t>
  </si>
  <si>
    <t>instagram</t>
  </si>
  <si>
    <t>tiktok</t>
  </si>
  <si>
    <t>HORA</t>
  </si>
  <si>
    <t>10H</t>
  </si>
  <si>
    <t>DATA  SCIENCE</t>
  </si>
  <si>
    <t>DEVELOPER</t>
  </si>
  <si>
    <t>10H30</t>
  </si>
  <si>
    <t>11H</t>
  </si>
  <si>
    <t>9H30</t>
  </si>
  <si>
    <t>9H</t>
  </si>
  <si>
    <t>9H15</t>
  </si>
  <si>
    <t>11H15</t>
  </si>
  <si>
    <t>11H30</t>
  </si>
  <si>
    <t>11H45</t>
  </si>
  <si>
    <t>12H</t>
  </si>
  <si>
    <t>AGORA</t>
  </si>
  <si>
    <t>14H30</t>
  </si>
  <si>
    <t>fiz um carrosel (photo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</si>
</sst>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6"/>
      <name val="Aptos Narrow"/>
      <family val="2"/>
      <scheme val="minor"/>
    </font>
    <font>
      <u/>
      <sz val="8"/>
      <color theme="6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1" applyFont="1"/>
    <xf numFmtId="14" fontId="4" fillId="0" borderId="0" xfId="0" applyNumberFormat="1" applyFont="1"/>
    <xf numFmtId="0" fontId="7" fillId="0" borderId="0" xfId="1" applyFont="1"/>
    <xf numFmtId="16" fontId="4" fillId="0" borderId="0" xfId="0" applyNumberFormat="1" applyFont="1"/>
    <xf numFmtId="0" fontId="8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8" fillId="0" borderId="0" xfId="0" applyFont="1"/>
    <xf numFmtId="20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 vertical="center" textRotation="90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ositol.github.io/pericia.judicial/artigo-venda-casada-taxas-abusivas-fgi-peac.html" TargetMode="External"/><Relationship Id="rId3" Type="http://schemas.openxmlformats.org/officeDocument/2006/relationships/hyperlink" Target="https://spositol.github.io/pericia.judicial/artigo-parecer-tecnico-pericia-dados-diferencial-judicial.html" TargetMode="External"/><Relationship Id="rId7" Type="http://schemas.openxmlformats.org/officeDocument/2006/relationships/hyperlink" Target="https://spositol.github.io/pericia.judicial/artigo-juros-abusivos-fgi-peac-taxa-1-75.html" TargetMode="External"/><Relationship Id="rId12" Type="http://schemas.openxmlformats.org/officeDocument/2006/relationships/hyperlink" Target="https://spositol.github.io/pericia.judicial/artigo-analise-pericial-ccb-fgi-peac-dr-lincoln-sposito.html" TargetMode="External"/><Relationship Id="rId2" Type="http://schemas.openxmlformats.org/officeDocument/2006/relationships/hyperlink" Target="https://spositol.github.io/pericia.judicial/artigo-analise-pericial-ccb-fgi-peac-dr-lincoln-sposito.html" TargetMode="External"/><Relationship Id="rId1" Type="http://schemas.openxmlformats.org/officeDocument/2006/relationships/hyperlink" Target="https://spositol.github.io/pericia.judicial/artigo-log-chamadas-prova-judicial-assedio-bancario.html" TargetMode="External"/><Relationship Id="rId6" Type="http://schemas.openxmlformats.org/officeDocument/2006/relationships/hyperlink" Target="https://spositol.github.io/pericia.judicial/artigo-juros-abusivos-fgi-peac-taxa-1-75.html" TargetMode="External"/><Relationship Id="rId11" Type="http://schemas.openxmlformats.org/officeDocument/2006/relationships/hyperlink" Target="https://spositol.github.io/pericia.judicial/artigo-como-reduzir-divida-bancaria-empresa.html" TargetMode="External"/><Relationship Id="rId5" Type="http://schemas.openxmlformats.org/officeDocument/2006/relationships/hyperlink" Target="https://spositol.github.io/pericia.judicial/artigo-como-reduzir-juros-fgi-peac-sobreasseguracao.html" TargetMode="External"/><Relationship Id="rId10" Type="http://schemas.openxmlformats.org/officeDocument/2006/relationships/hyperlink" Target="https://spositol.github.io/pericia.judicial/artigo-log-chamadas-prova-judicial-assedio-bancario.html" TargetMode="External"/><Relationship Id="rId4" Type="http://schemas.openxmlformats.org/officeDocument/2006/relationships/hyperlink" Target="https://spositol.github.io/pericia.judicial/artigo-falacia-liquidez-ccb-fgi-peac-capital-retido.html" TargetMode="External"/><Relationship Id="rId9" Type="http://schemas.openxmlformats.org/officeDocument/2006/relationships/hyperlink" Target="https://spositol.github.io/pericia.judicial/artigo-como-reduzir-divida-bancaria-empresa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positol.github.io/pericia.judicial/artigo-duty-to-mitigate-the-loss-pericia-cartao-paralisado.html" TargetMode="External"/><Relationship Id="rId13" Type="http://schemas.openxmlformats.org/officeDocument/2006/relationships/hyperlink" Target="https://spositol.github.io/pericia.judicial/artigo-duty-to-mitigate-the-loss-pericia-cartao-paralisado.html" TargetMode="External"/><Relationship Id="rId18" Type="http://schemas.openxmlformats.org/officeDocument/2006/relationships/hyperlink" Target="https://spositol.github.io/pericia.judicial/artigo-duty-to-mitigate-the-loss-pericia-cartao-paralisado.html" TargetMode="External"/><Relationship Id="rId3" Type="http://schemas.openxmlformats.org/officeDocument/2006/relationships/hyperlink" Target="https://spositol.github.io/pericia.judicial/artigo-duty-to-mitigate-the-loss-pericia-cartao-paralisado.html" TargetMode="External"/><Relationship Id="rId7" Type="http://schemas.openxmlformats.org/officeDocument/2006/relationships/hyperlink" Target="https://spositol.github.io/pericia.judicial/artigo-alucinacao-matematica-pericia-divida-bancaria-revisional.html" TargetMode="External"/><Relationship Id="rId12" Type="http://schemas.openxmlformats.org/officeDocument/2006/relationships/hyperlink" Target="https://spositol.github.io/pericia.judicial/artigo-alucinacao-matematica-pericia-divida-bancaria-revisional.html" TargetMode="External"/><Relationship Id="rId17" Type="http://schemas.openxmlformats.org/officeDocument/2006/relationships/hyperlink" Target="https://spositol.github.io/pericia.judicial/artigo-alucinacao-matematica-pericia-divida-bancaria-revisional.html" TargetMode="External"/><Relationship Id="rId2" Type="http://schemas.openxmlformats.org/officeDocument/2006/relationships/hyperlink" Target="https://spositol.github.io/pericia.judicial/artigo-alucinacao-matematica-pericia-divida-bancaria-revisional.html" TargetMode="External"/><Relationship Id="rId16" Type="http://schemas.openxmlformats.org/officeDocument/2006/relationships/hyperlink" Target="https://spositol.github.io/pericia.judicial/artigo-divida-cartao-credito-stalking-bancario.html" TargetMode="External"/><Relationship Id="rId20" Type="http://schemas.openxmlformats.org/officeDocument/2006/relationships/hyperlink" Target="https://spositol.github.io/pericia.judicial/artigo-divida-eterna-cartao-credito-parcelamento-automatico.html" TargetMode="External"/><Relationship Id="rId1" Type="http://schemas.openxmlformats.org/officeDocument/2006/relationships/hyperlink" Target="https://spositol.github.io/pericia.judicial/artigo-divida-cartao-credito-stalking-bancario.html" TargetMode="External"/><Relationship Id="rId6" Type="http://schemas.openxmlformats.org/officeDocument/2006/relationships/hyperlink" Target="https://spositol.github.io/pericia.judicial/artigo-divida-cartao-credito-stalking-bancario.html" TargetMode="External"/><Relationship Id="rId11" Type="http://schemas.openxmlformats.org/officeDocument/2006/relationships/hyperlink" Target="https://spositol.github.io/pericia.judicial/artigo-divida-cartao-credito-stalking-bancario.html" TargetMode="External"/><Relationship Id="rId5" Type="http://schemas.openxmlformats.org/officeDocument/2006/relationships/hyperlink" Target="https://spositol.github.io/pericia.judicial/artigo-divida-eterna-cartao-credito-parcelamento-automatico.html" TargetMode="External"/><Relationship Id="rId15" Type="http://schemas.openxmlformats.org/officeDocument/2006/relationships/hyperlink" Target="https://spositol.github.io/pericia.judicial/artigo-divida-eterna-cartao-credito-parcelamento-automatico.html" TargetMode="External"/><Relationship Id="rId10" Type="http://schemas.openxmlformats.org/officeDocument/2006/relationships/hyperlink" Target="https://spositol.github.io/pericia.judicial/artigo-divida-eterna-cartao-credito-parcelamento-automatico.html" TargetMode="External"/><Relationship Id="rId19" Type="http://schemas.openxmlformats.org/officeDocument/2006/relationships/hyperlink" Target="https://spositol.github.io/pericia.judicial/artigo-extincao-divida-compensacao-repeticao-indebito-cdc.html" TargetMode="External"/><Relationship Id="rId4" Type="http://schemas.openxmlformats.org/officeDocument/2006/relationships/hyperlink" Target="https://spositol.github.io/pericia.judicial/artigo-extincao-divida-compensacao-repeticao-indebito-cdc.html" TargetMode="External"/><Relationship Id="rId9" Type="http://schemas.openxmlformats.org/officeDocument/2006/relationships/hyperlink" Target="https://spositol.github.io/pericia.judicial/artigo-extincao-divida-compensacao-repeticao-indebito-cdc.html" TargetMode="External"/><Relationship Id="rId14" Type="http://schemas.openxmlformats.org/officeDocument/2006/relationships/hyperlink" Target="https://spositol.github.io/pericia.judicial/artigo-extincao-divida-compensacao-repeticao-indebito-cd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FA6C-373C-4381-9E3D-4CFF5C13683F}">
  <dimension ref="A1:D31"/>
  <sheetViews>
    <sheetView zoomScale="145" zoomScaleNormal="145" workbookViewId="0">
      <selection activeCell="A5" sqref="A5"/>
    </sheetView>
  </sheetViews>
  <sheetFormatPr defaultRowHeight="10.8" x14ac:dyDescent="0.25"/>
  <cols>
    <col min="1" max="1" width="18.5546875" style="5" bestFit="1" customWidth="1"/>
    <col min="2" max="2" width="7.88671875" style="5" bestFit="1" customWidth="1"/>
    <col min="3" max="3" width="65.77734375" style="5" bestFit="1" customWidth="1"/>
    <col min="4" max="4" width="7.5546875" style="5" bestFit="1" customWidth="1"/>
    <col min="5" max="16384" width="8.88671875" style="5"/>
  </cols>
  <sheetData>
    <row r="1" spans="1:4" x14ac:dyDescent="0.25">
      <c r="A1" s="4" t="s">
        <v>14</v>
      </c>
      <c r="B1" s="4" t="s">
        <v>15</v>
      </c>
      <c r="C1" s="4" t="s">
        <v>16</v>
      </c>
      <c r="D1" s="4" t="s">
        <v>17</v>
      </c>
    </row>
    <row r="2" spans="1:4" s="6" customFormat="1" x14ac:dyDescent="0.25">
      <c r="A2" s="6" t="s">
        <v>0</v>
      </c>
      <c r="B2" s="7">
        <v>46118</v>
      </c>
      <c r="C2" s="8" t="s">
        <v>10</v>
      </c>
      <c r="D2" s="6" t="s">
        <v>13</v>
      </c>
    </row>
    <row r="3" spans="1:4" s="6" customFormat="1" x14ac:dyDescent="0.25">
      <c r="A3" s="6" t="s">
        <v>9</v>
      </c>
      <c r="B3" s="7">
        <v>46119</v>
      </c>
      <c r="C3" s="6" t="s">
        <v>10</v>
      </c>
      <c r="D3" s="6" t="s">
        <v>13</v>
      </c>
    </row>
    <row r="4" spans="1:4" x14ac:dyDescent="0.25">
      <c r="A4" s="5" t="s">
        <v>12</v>
      </c>
      <c r="B4" s="9">
        <v>46120</v>
      </c>
      <c r="C4" s="10" t="s">
        <v>10</v>
      </c>
      <c r="D4" s="5" t="s">
        <v>18</v>
      </c>
    </row>
    <row r="5" spans="1:4" x14ac:dyDescent="0.25">
      <c r="A5" s="5" t="s">
        <v>0</v>
      </c>
      <c r="B5" s="9">
        <v>46121</v>
      </c>
      <c r="C5" s="10" t="s">
        <v>11</v>
      </c>
      <c r="D5" s="5" t="s">
        <v>18</v>
      </c>
    </row>
    <row r="6" spans="1:4" x14ac:dyDescent="0.25">
      <c r="A6" s="5" t="s">
        <v>9</v>
      </c>
      <c r="B6" s="9">
        <v>46122</v>
      </c>
      <c r="C6" s="5" t="s">
        <v>11</v>
      </c>
      <c r="D6" s="5" t="s">
        <v>18</v>
      </c>
    </row>
    <row r="7" spans="1:4" x14ac:dyDescent="0.25">
      <c r="A7" s="5" t="s">
        <v>12</v>
      </c>
      <c r="B7" s="9">
        <v>46123</v>
      </c>
      <c r="C7" s="10" t="s">
        <v>11</v>
      </c>
    </row>
    <row r="8" spans="1:4" x14ac:dyDescent="0.25">
      <c r="A8" s="5" t="s">
        <v>0</v>
      </c>
      <c r="B8" s="9">
        <v>46125</v>
      </c>
      <c r="C8" s="10" t="s">
        <v>1</v>
      </c>
      <c r="D8" s="5" t="s">
        <v>13</v>
      </c>
    </row>
    <row r="9" spans="1:4" x14ac:dyDescent="0.25">
      <c r="A9" s="5" t="s">
        <v>9</v>
      </c>
      <c r="B9" s="9">
        <v>46126</v>
      </c>
      <c r="C9" s="5" t="s">
        <v>1</v>
      </c>
      <c r="D9" s="5" t="s">
        <v>13</v>
      </c>
    </row>
    <row r="10" spans="1:4" x14ac:dyDescent="0.25">
      <c r="A10" s="5" t="s">
        <v>12</v>
      </c>
      <c r="B10" s="9">
        <v>46127</v>
      </c>
      <c r="C10" s="5" t="s">
        <v>1</v>
      </c>
    </row>
    <row r="11" spans="1:4" x14ac:dyDescent="0.25">
      <c r="A11" s="5" t="s">
        <v>0</v>
      </c>
      <c r="B11" s="11">
        <v>46128</v>
      </c>
      <c r="C11" s="10" t="s">
        <v>2</v>
      </c>
      <c r="D11" s="5" t="s">
        <v>13</v>
      </c>
    </row>
    <row r="12" spans="1:4" x14ac:dyDescent="0.25">
      <c r="A12" s="5" t="s">
        <v>12</v>
      </c>
      <c r="B12" s="11">
        <v>46128</v>
      </c>
      <c r="C12" s="5" t="s">
        <v>2</v>
      </c>
    </row>
    <row r="13" spans="1:4" x14ac:dyDescent="0.25">
      <c r="A13" s="5" t="s">
        <v>9</v>
      </c>
      <c r="B13" s="11">
        <v>46129</v>
      </c>
      <c r="C13" s="5" t="s">
        <v>2</v>
      </c>
      <c r="D13" s="5" t="s">
        <v>13</v>
      </c>
    </row>
    <row r="14" spans="1:4" x14ac:dyDescent="0.25">
      <c r="A14" s="5" t="s">
        <v>0</v>
      </c>
      <c r="B14" s="11">
        <v>46132</v>
      </c>
      <c r="C14" s="5" t="s">
        <v>3</v>
      </c>
      <c r="D14" s="5" t="s">
        <v>18</v>
      </c>
    </row>
    <row r="15" spans="1:4" x14ac:dyDescent="0.25">
      <c r="A15" s="5" t="s">
        <v>9</v>
      </c>
      <c r="B15" s="11">
        <v>46133</v>
      </c>
      <c r="C15" s="5" t="s">
        <v>3</v>
      </c>
      <c r="D15" s="5" t="s">
        <v>18</v>
      </c>
    </row>
    <row r="16" spans="1:4" x14ac:dyDescent="0.25">
      <c r="A16" s="5" t="s">
        <v>12</v>
      </c>
      <c r="B16" s="11">
        <v>46134</v>
      </c>
      <c r="C16" s="5" t="s">
        <v>3</v>
      </c>
    </row>
    <row r="17" spans="1:4" x14ac:dyDescent="0.25">
      <c r="A17" s="5" t="s">
        <v>0</v>
      </c>
      <c r="B17" s="11">
        <v>46135</v>
      </c>
      <c r="C17" s="5" t="s">
        <v>4</v>
      </c>
      <c r="D17" s="5" t="s">
        <v>18</v>
      </c>
    </row>
    <row r="18" spans="1:4" x14ac:dyDescent="0.25">
      <c r="A18" s="5" t="s">
        <v>9</v>
      </c>
      <c r="B18" s="11">
        <v>46136</v>
      </c>
      <c r="C18" s="5" t="s">
        <v>4</v>
      </c>
      <c r="D18" s="5" t="s">
        <v>18</v>
      </c>
    </row>
    <row r="19" spans="1:4" x14ac:dyDescent="0.25">
      <c r="A19" s="5" t="s">
        <v>12</v>
      </c>
      <c r="B19" s="11">
        <v>46137</v>
      </c>
      <c r="C19" s="5" t="s">
        <v>4</v>
      </c>
    </row>
    <row r="20" spans="1:4" x14ac:dyDescent="0.25">
      <c r="A20" s="5" t="s">
        <v>0</v>
      </c>
      <c r="B20" s="11">
        <v>46139</v>
      </c>
      <c r="C20" s="10" t="s">
        <v>5</v>
      </c>
      <c r="D20" s="5" t="s">
        <v>18</v>
      </c>
    </row>
    <row r="21" spans="1:4" x14ac:dyDescent="0.25">
      <c r="A21" s="5" t="s">
        <v>9</v>
      </c>
      <c r="B21" s="11">
        <v>46140</v>
      </c>
      <c r="C21" s="5" t="s">
        <v>5</v>
      </c>
      <c r="D21" s="5" t="s">
        <v>18</v>
      </c>
    </row>
    <row r="22" spans="1:4" x14ac:dyDescent="0.25">
      <c r="A22" s="5" t="s">
        <v>12</v>
      </c>
      <c r="B22" s="11">
        <v>46141</v>
      </c>
      <c r="C22" s="5" t="s">
        <v>5</v>
      </c>
    </row>
    <row r="23" spans="1:4" x14ac:dyDescent="0.25">
      <c r="A23" s="5" t="s">
        <v>0</v>
      </c>
      <c r="B23" s="11">
        <v>46142</v>
      </c>
      <c r="C23" s="10" t="s">
        <v>6</v>
      </c>
      <c r="D23" s="5" t="s">
        <v>18</v>
      </c>
    </row>
    <row r="24" spans="1:4" x14ac:dyDescent="0.25">
      <c r="A24" s="5" t="s">
        <v>9</v>
      </c>
      <c r="B24" s="11">
        <v>46143</v>
      </c>
      <c r="C24" s="10" t="s">
        <v>6</v>
      </c>
      <c r="D24" s="5" t="s">
        <v>18</v>
      </c>
    </row>
    <row r="25" spans="1:4" x14ac:dyDescent="0.25">
      <c r="A25" s="5" t="s">
        <v>12</v>
      </c>
      <c r="B25" s="11">
        <v>46144</v>
      </c>
      <c r="C25" s="5" t="s">
        <v>6</v>
      </c>
    </row>
    <row r="26" spans="1:4" x14ac:dyDescent="0.25">
      <c r="A26" s="5" t="s">
        <v>0</v>
      </c>
      <c r="B26" s="11">
        <v>46146</v>
      </c>
      <c r="C26" s="10" t="s">
        <v>7</v>
      </c>
      <c r="D26" s="5" t="s">
        <v>18</v>
      </c>
    </row>
    <row r="27" spans="1:4" x14ac:dyDescent="0.25">
      <c r="A27" s="5" t="s">
        <v>9</v>
      </c>
      <c r="B27" s="11">
        <v>46147</v>
      </c>
      <c r="C27" s="5" t="s">
        <v>7</v>
      </c>
      <c r="D27" s="5" t="s">
        <v>18</v>
      </c>
    </row>
    <row r="28" spans="1:4" x14ac:dyDescent="0.25">
      <c r="A28" s="5" t="s">
        <v>12</v>
      </c>
      <c r="B28" s="11">
        <v>46148</v>
      </c>
      <c r="C28" s="5" t="s">
        <v>7</v>
      </c>
    </row>
    <row r="29" spans="1:4" x14ac:dyDescent="0.25">
      <c r="A29" s="5" t="s">
        <v>0</v>
      </c>
      <c r="B29" s="11">
        <v>46149</v>
      </c>
      <c r="C29" s="10" t="s">
        <v>8</v>
      </c>
      <c r="D29" s="5" t="s">
        <v>18</v>
      </c>
    </row>
    <row r="30" spans="1:4" x14ac:dyDescent="0.25">
      <c r="A30" s="5" t="s">
        <v>9</v>
      </c>
      <c r="B30" s="11">
        <v>46150</v>
      </c>
      <c r="C30" s="10" t="s">
        <v>8</v>
      </c>
      <c r="D30" s="5" t="s">
        <v>13</v>
      </c>
    </row>
    <row r="31" spans="1:4" x14ac:dyDescent="0.25">
      <c r="A31" s="5" t="s">
        <v>12</v>
      </c>
      <c r="B31" s="11">
        <v>46151</v>
      </c>
      <c r="C31" s="5" t="s">
        <v>8</v>
      </c>
    </row>
  </sheetData>
  <autoFilter ref="A1:D31" xr:uid="{B103FA6C-373C-4381-9E3D-4CFF5C13683F}"/>
  <sortState xmlns:xlrd2="http://schemas.microsoft.com/office/spreadsheetml/2017/richdata2" ref="A2:C31">
    <sortCondition ref="B2:B31"/>
    <sortCondition ref="C2:C31"/>
  </sortState>
  <hyperlinks>
    <hyperlink ref="C2" r:id="rId1" xr:uid="{2AA7944D-81C4-4F7B-A6C9-F0499EDFE8E8}"/>
    <hyperlink ref="C5" r:id="rId2" xr:uid="{E3096FC0-AA90-4514-A116-CC3F8F242C6E}"/>
    <hyperlink ref="C8" r:id="rId3" xr:uid="{E9206815-A1A5-4625-B2EB-F388392F073E}"/>
    <hyperlink ref="C11" r:id="rId4" xr:uid="{1A86BD6F-3381-4741-8C6B-35FE66F539DC}"/>
    <hyperlink ref="C20" r:id="rId5" xr:uid="{ABBD5DFE-9FB4-4894-9444-042ABA7CED0D}"/>
    <hyperlink ref="C23" r:id="rId6" xr:uid="{A1B205F3-81D9-496B-830B-CA58A792B4A1}"/>
    <hyperlink ref="C24" r:id="rId7" xr:uid="{6BD9023A-9CF9-4B01-AEC3-D8B18F5A2168}"/>
    <hyperlink ref="C26" r:id="rId8" xr:uid="{C1B195E1-2934-4B25-A1F9-C9BCC7AC9B42}"/>
    <hyperlink ref="C29" r:id="rId9" xr:uid="{9B4AA395-01E4-41AC-B8E7-25CD1C6C77EF}"/>
    <hyperlink ref="C4" r:id="rId10" xr:uid="{09B5897C-1F07-4DB3-9B86-3E86E8B1BAED}"/>
    <hyperlink ref="C30" r:id="rId11" xr:uid="{7EDF4829-CAA9-4DE9-8ADC-D902CE988D8C}"/>
    <hyperlink ref="C7" r:id="rId12" xr:uid="{01895336-2860-4246-8A84-CF2D29E9D22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2BA1-C735-432B-B136-781720BCCD4F}">
  <dimension ref="A1:G21"/>
  <sheetViews>
    <sheetView tabSelected="1" workbookViewId="0">
      <selection activeCell="K14" sqref="K14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84.44140625" style="1" customWidth="1"/>
    <col min="4" max="4" width="7.44140625" bestFit="1" customWidth="1"/>
    <col min="6" max="6" width="14.5546875" bestFit="1" customWidth="1"/>
    <col min="7" max="7" width="11.5546875" bestFit="1" customWidth="1"/>
  </cols>
  <sheetData>
    <row r="1" spans="1:7" x14ac:dyDescent="0.3">
      <c r="A1" s="2" t="s">
        <v>14</v>
      </c>
      <c r="B1" s="2" t="s">
        <v>15</v>
      </c>
      <c r="C1" s="3" t="s">
        <v>16</v>
      </c>
      <c r="D1" s="2" t="s">
        <v>17</v>
      </c>
      <c r="E1" s="2" t="s">
        <v>28</v>
      </c>
      <c r="F1" s="2" t="s">
        <v>30</v>
      </c>
      <c r="G1" s="2" t="s">
        <v>31</v>
      </c>
    </row>
    <row r="2" spans="1:7" s="15" customFormat="1" ht="28.8" x14ac:dyDescent="0.3">
      <c r="A2" s="12" t="s">
        <v>24</v>
      </c>
      <c r="B2" s="13">
        <v>46153</v>
      </c>
      <c r="C2" s="14" t="s">
        <v>19</v>
      </c>
      <c r="D2" s="12" t="s">
        <v>18</v>
      </c>
      <c r="E2" s="12" t="s">
        <v>29</v>
      </c>
      <c r="F2" s="12" t="s">
        <v>32</v>
      </c>
      <c r="G2" s="12" t="s">
        <v>33</v>
      </c>
    </row>
    <row r="3" spans="1:7" s="15" customFormat="1" x14ac:dyDescent="0.3">
      <c r="A3" s="12" t="s">
        <v>24</v>
      </c>
      <c r="B3" s="13">
        <f>B2+3</f>
        <v>46156</v>
      </c>
      <c r="C3" s="14" t="s">
        <v>20</v>
      </c>
      <c r="D3" s="12" t="s">
        <v>18</v>
      </c>
      <c r="E3" s="12" t="s">
        <v>34</v>
      </c>
      <c r="F3" s="12" t="s">
        <v>29</v>
      </c>
      <c r="G3" s="12" t="s">
        <v>32</v>
      </c>
    </row>
    <row r="4" spans="1:7" s="15" customFormat="1" ht="28.8" x14ac:dyDescent="0.3">
      <c r="A4" s="12" t="s">
        <v>24</v>
      </c>
      <c r="B4" s="13">
        <f>B3+4</f>
        <v>46160</v>
      </c>
      <c r="C4" s="14" t="s">
        <v>21</v>
      </c>
      <c r="D4" s="12" t="s">
        <v>18</v>
      </c>
      <c r="E4" s="12" t="s">
        <v>35</v>
      </c>
      <c r="F4" s="12" t="s">
        <v>36</v>
      </c>
      <c r="G4" s="12" t="s">
        <v>34</v>
      </c>
    </row>
    <row r="5" spans="1:7" s="15" customFormat="1" ht="28.8" x14ac:dyDescent="0.3">
      <c r="A5" s="12" t="s">
        <v>24</v>
      </c>
      <c r="B5" s="13">
        <f>B4+3</f>
        <v>46163</v>
      </c>
      <c r="C5" s="14" t="s">
        <v>22</v>
      </c>
      <c r="D5" s="12" t="s">
        <v>18</v>
      </c>
      <c r="E5" s="12" t="s">
        <v>33</v>
      </c>
      <c r="F5" s="12" t="s">
        <v>37</v>
      </c>
      <c r="G5" s="12" t="s">
        <v>38</v>
      </c>
    </row>
    <row r="6" spans="1:7" s="15" customFormat="1" ht="28.8" x14ac:dyDescent="0.3">
      <c r="A6" s="12" t="s">
        <v>24</v>
      </c>
      <c r="B6" s="13">
        <f>B5+4</f>
        <v>46167</v>
      </c>
      <c r="C6" s="14" t="s">
        <v>23</v>
      </c>
      <c r="D6" s="12" t="s">
        <v>18</v>
      </c>
      <c r="E6" s="12" t="s">
        <v>38</v>
      </c>
      <c r="F6" s="12" t="s">
        <v>39</v>
      </c>
      <c r="G6" s="12" t="s">
        <v>40</v>
      </c>
    </row>
    <row r="7" spans="1:7" s="15" customFormat="1" ht="28.8" x14ac:dyDescent="0.3">
      <c r="A7" s="12" t="s">
        <v>25</v>
      </c>
      <c r="B7" s="13">
        <v>46154</v>
      </c>
      <c r="C7" s="14" t="s">
        <v>19</v>
      </c>
      <c r="D7" s="12" t="s">
        <v>18</v>
      </c>
      <c r="E7" s="12" t="s">
        <v>41</v>
      </c>
      <c r="F7" s="16">
        <v>0.54166666666666663</v>
      </c>
      <c r="G7" s="12" t="s">
        <v>42</v>
      </c>
    </row>
    <row r="8" spans="1:7" s="15" customFormat="1" x14ac:dyDescent="0.3">
      <c r="A8" s="12" t="s">
        <v>25</v>
      </c>
      <c r="B8" s="13">
        <f>B7+3</f>
        <v>46157</v>
      </c>
      <c r="C8" s="14" t="s">
        <v>20</v>
      </c>
      <c r="D8" s="12" t="s">
        <v>18</v>
      </c>
      <c r="E8" s="16">
        <v>0.60416666666666663</v>
      </c>
      <c r="F8" s="16">
        <v>0.60416666666666663</v>
      </c>
      <c r="G8" s="16">
        <v>0.60416666666666663</v>
      </c>
    </row>
    <row r="9" spans="1:7" s="15" customFormat="1" ht="28.8" x14ac:dyDescent="0.3">
      <c r="A9" s="12" t="s">
        <v>25</v>
      </c>
      <c r="B9" s="13">
        <f>B8+4</f>
        <v>46161</v>
      </c>
      <c r="C9" s="14" t="s">
        <v>21</v>
      </c>
      <c r="D9" s="12" t="s">
        <v>18</v>
      </c>
      <c r="E9" s="12"/>
      <c r="F9" s="12"/>
      <c r="G9" s="12"/>
    </row>
    <row r="10" spans="1:7" s="15" customFormat="1" ht="28.8" x14ac:dyDescent="0.3">
      <c r="A10" s="12" t="s">
        <v>25</v>
      </c>
      <c r="B10" s="13">
        <f>B9+3</f>
        <v>46164</v>
      </c>
      <c r="C10" s="14" t="s">
        <v>22</v>
      </c>
      <c r="D10" s="12" t="s">
        <v>18</v>
      </c>
      <c r="E10" s="12"/>
      <c r="F10" s="12"/>
      <c r="G10" s="12"/>
    </row>
    <row r="11" spans="1:7" s="15" customFormat="1" ht="28.8" x14ac:dyDescent="0.3">
      <c r="A11" s="12" t="s">
        <v>25</v>
      </c>
      <c r="B11" s="13">
        <f>B10+4</f>
        <v>46168</v>
      </c>
      <c r="C11" s="14" t="s">
        <v>23</v>
      </c>
      <c r="D11" s="12" t="s">
        <v>18</v>
      </c>
      <c r="E11" s="12"/>
      <c r="F11" s="12"/>
      <c r="G11" s="12"/>
    </row>
    <row r="12" spans="1:7" s="15" customFormat="1" ht="28.8" x14ac:dyDescent="0.3">
      <c r="A12" s="12" t="s">
        <v>26</v>
      </c>
      <c r="B12" s="13">
        <v>46155</v>
      </c>
      <c r="C12" s="14" t="s">
        <v>19</v>
      </c>
      <c r="D12" s="12" t="s">
        <v>18</v>
      </c>
      <c r="E12" s="12" t="s">
        <v>41</v>
      </c>
      <c r="F12" s="16">
        <v>0.54166666666666663</v>
      </c>
      <c r="G12" s="12"/>
    </row>
    <row r="13" spans="1:7" s="15" customFormat="1" x14ac:dyDescent="0.3">
      <c r="A13" s="12" t="s">
        <v>26</v>
      </c>
      <c r="B13" s="13">
        <f>B12+3</f>
        <v>46158</v>
      </c>
      <c r="C13" s="14" t="s">
        <v>20</v>
      </c>
      <c r="D13" s="12" t="s">
        <v>18</v>
      </c>
      <c r="E13" s="12"/>
      <c r="F13" s="12"/>
      <c r="G13" s="12"/>
    </row>
    <row r="14" spans="1:7" s="15" customFormat="1" ht="28.8" x14ac:dyDescent="0.3">
      <c r="A14" s="12" t="s">
        <v>26</v>
      </c>
      <c r="B14" s="13">
        <f>B13+4</f>
        <v>46162</v>
      </c>
      <c r="C14" s="14" t="s">
        <v>21</v>
      </c>
      <c r="D14" s="12" t="s">
        <v>18</v>
      </c>
      <c r="E14" s="12"/>
      <c r="F14" s="12"/>
      <c r="G14" s="12"/>
    </row>
    <row r="15" spans="1:7" s="15" customFormat="1" ht="28.8" x14ac:dyDescent="0.3">
      <c r="A15" s="12" t="s">
        <v>26</v>
      </c>
      <c r="B15" s="13">
        <f>B14+3</f>
        <v>46165</v>
      </c>
      <c r="C15" s="14" t="s">
        <v>22</v>
      </c>
      <c r="D15" s="12" t="s">
        <v>18</v>
      </c>
      <c r="E15" s="12"/>
      <c r="F15" s="12"/>
      <c r="G15" s="12"/>
    </row>
    <row r="16" spans="1:7" s="15" customFormat="1" ht="28.8" x14ac:dyDescent="0.3">
      <c r="A16" s="12" t="s">
        <v>26</v>
      </c>
      <c r="B16" s="13">
        <f>B15+4</f>
        <v>46169</v>
      </c>
      <c r="C16" s="14" t="s">
        <v>23</v>
      </c>
      <c r="D16" s="12" t="s">
        <v>18</v>
      </c>
      <c r="E16" s="12"/>
      <c r="F16" s="12"/>
      <c r="G16" s="12"/>
    </row>
    <row r="17" spans="1:7" s="15" customFormat="1" ht="28.8" x14ac:dyDescent="0.3">
      <c r="A17" s="12" t="s">
        <v>27</v>
      </c>
      <c r="B17" s="13">
        <v>46157</v>
      </c>
      <c r="C17" s="14" t="s">
        <v>19</v>
      </c>
      <c r="D17" s="12" t="s">
        <v>18</v>
      </c>
      <c r="E17" s="17" t="s">
        <v>43</v>
      </c>
      <c r="F17" s="12"/>
      <c r="G17" s="12"/>
    </row>
    <row r="18" spans="1:7" s="15" customFormat="1" x14ac:dyDescent="0.3">
      <c r="A18" s="12" t="s">
        <v>27</v>
      </c>
      <c r="B18" s="13">
        <f>B17+3</f>
        <v>46160</v>
      </c>
      <c r="C18" s="14" t="s">
        <v>20</v>
      </c>
      <c r="D18" s="12" t="s">
        <v>18</v>
      </c>
      <c r="E18" s="17"/>
      <c r="F18" s="12"/>
      <c r="G18" s="12"/>
    </row>
    <row r="19" spans="1:7" s="15" customFormat="1" ht="28.8" x14ac:dyDescent="0.3">
      <c r="A19" s="12" t="s">
        <v>27</v>
      </c>
      <c r="B19" s="13">
        <f>B18+4</f>
        <v>46164</v>
      </c>
      <c r="C19" s="14" t="s">
        <v>21</v>
      </c>
      <c r="D19" s="12" t="s">
        <v>18</v>
      </c>
      <c r="E19" s="17"/>
      <c r="F19" s="12"/>
      <c r="G19" s="12"/>
    </row>
    <row r="20" spans="1:7" s="15" customFormat="1" ht="28.8" x14ac:dyDescent="0.3">
      <c r="A20" s="12" t="s">
        <v>27</v>
      </c>
      <c r="B20" s="13">
        <f>B19+3</f>
        <v>46167</v>
      </c>
      <c r="C20" s="14" t="s">
        <v>22</v>
      </c>
      <c r="D20" s="12" t="s">
        <v>18</v>
      </c>
      <c r="E20" s="17"/>
      <c r="F20" s="12"/>
      <c r="G20" s="12"/>
    </row>
    <row r="21" spans="1:7" s="15" customFormat="1" ht="28.8" x14ac:dyDescent="0.3">
      <c r="A21" s="12" t="s">
        <v>27</v>
      </c>
      <c r="B21" s="13">
        <f>B20+4</f>
        <v>46171</v>
      </c>
      <c r="C21" s="14" t="s">
        <v>23</v>
      </c>
      <c r="D21" s="12" t="s">
        <v>18</v>
      </c>
      <c r="E21" s="17"/>
      <c r="F21" s="12"/>
      <c r="G21" s="12"/>
    </row>
  </sheetData>
  <autoFilter ref="A1:E21" xr:uid="{086A2BA1-C735-432B-B136-781720BCCD4F}"/>
  <mergeCells count="1">
    <mergeCell ref="E17:E21"/>
  </mergeCells>
  <hyperlinks>
    <hyperlink ref="C3" r:id="rId1" xr:uid="{049CACBD-3BE8-45F4-A759-9238E46DDEA1}"/>
    <hyperlink ref="C4" r:id="rId2" xr:uid="{5F5C8B9D-40A9-43A9-BE0F-D9ADAEA207CD}"/>
    <hyperlink ref="C5" r:id="rId3" xr:uid="{BF1BFE7C-169B-451E-925D-EE5D79F3B5DF}"/>
    <hyperlink ref="C6" r:id="rId4" xr:uid="{371EBC03-C094-4496-9AB6-66F256C5C880}"/>
    <hyperlink ref="C7" r:id="rId5" xr:uid="{06033CCC-361E-4475-AB08-8B91C32942E1}"/>
    <hyperlink ref="C8" r:id="rId6" xr:uid="{CF09828A-5668-485A-9D83-85C3B21E0D78}"/>
    <hyperlink ref="C9" r:id="rId7" xr:uid="{40BA528D-3D0C-461B-A8FE-AB73862E20A8}"/>
    <hyperlink ref="C10" r:id="rId8" xr:uid="{369B8623-4C01-4934-A5A6-5943A418C6DF}"/>
    <hyperlink ref="C11" r:id="rId9" xr:uid="{59F9DEAB-68F4-4B4A-AEC4-EC8BE4EBE8E7}"/>
    <hyperlink ref="C12" r:id="rId10" xr:uid="{7F4C7EC4-45B4-4407-86B8-0209BB46607C}"/>
    <hyperlink ref="C13" r:id="rId11" xr:uid="{3FB5ADC6-482B-45CE-8E6C-6CA6714935AA}"/>
    <hyperlink ref="C14" r:id="rId12" xr:uid="{9668B0CC-A571-40A7-982C-2DC2B8CB21C0}"/>
    <hyperlink ref="C15" r:id="rId13" xr:uid="{B5326B81-7A2B-439F-A610-23FB97CC05CB}"/>
    <hyperlink ref="C16" r:id="rId14" xr:uid="{9B228B6B-891D-4857-8F57-C98620CFDA5B}"/>
    <hyperlink ref="C17" r:id="rId15" xr:uid="{7E4C2726-3469-4408-90EA-A9DB795CA521}"/>
    <hyperlink ref="C18" r:id="rId16" xr:uid="{58A13C4D-2ED8-4B94-8A41-EDED19C12493}"/>
    <hyperlink ref="C19" r:id="rId17" xr:uid="{0059D4C7-BFEC-4048-81DD-E2119140482A}"/>
    <hyperlink ref="C20" r:id="rId18" xr:uid="{890DC075-6837-4596-90F6-A93D5306EF3B}"/>
    <hyperlink ref="C21" r:id="rId19" xr:uid="{25A410B7-0B40-49D8-BEDC-B2ACC162D56D}"/>
    <hyperlink ref="C2" r:id="rId20" xr:uid="{D8845DD8-D14D-4F70-BFF5-797748B1CA2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ABRIL-MAIO-26</vt:lpstr>
      <vt:lpstr>MAIO-JUNHO-26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Sposito</dc:creator>
  <cp:lastModifiedBy>Lincoln Sposito</cp:lastModifiedBy>
  <dcterms:created xsi:type="dcterms:W3CDTF">2026-04-04T19:58:51Z</dcterms:created>
  <dcterms:modified xsi:type="dcterms:W3CDTF">2026-05-10T18:39:59Z</dcterms:modified>
</cp:coreProperties>
</file>